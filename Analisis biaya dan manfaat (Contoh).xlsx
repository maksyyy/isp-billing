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s Biaya dan manfaat" sheetId="1" r:id="rId4"/>
  </sheets>
  <definedNames/>
  <calcPr/>
  <extLst>
    <ext uri="GoogleSheetsCustomDataVersion2">
      <go:sheetsCustomData xmlns:go="http://customooxmlschemas.google.com/" r:id="rId5" roundtripDataChecksum="qd9QQnby2++kXnx9DWhdqWdQ8PK3rtCmMkmWQQ3/ePo="/>
    </ext>
  </extLst>
</workbook>
</file>

<file path=xl/sharedStrings.xml><?xml version="1.0" encoding="utf-8"?>
<sst xmlns="http://schemas.openxmlformats.org/spreadsheetml/2006/main" count="71" uniqueCount="55">
  <si>
    <t>Keterangan</t>
  </si>
  <si>
    <t>Tahun 0</t>
  </si>
  <si>
    <t>Tahun 1</t>
  </si>
  <si>
    <t>Tahun 2</t>
  </si>
  <si>
    <t>Tahun 3</t>
  </si>
  <si>
    <t>BIAYA-BIAYA</t>
  </si>
  <si>
    <t>Biaya pengembangan sistem</t>
  </si>
  <si>
    <t>Biaya pengadaan</t>
  </si>
  <si>
    <t>Biaya persiapan operasi</t>
  </si>
  <si>
    <t>Biaya proyek</t>
  </si>
  <si>
    <t>Biaya konsultan</t>
  </si>
  <si>
    <t>Tahap analisis sistem</t>
  </si>
  <si>
    <t>Tahap desain sistem</t>
  </si>
  <si>
    <t xml:space="preserve">Penerapan sistem  </t>
  </si>
  <si>
    <t>Biaya penyusutan</t>
  </si>
  <si>
    <t xml:space="preserve">Total biaya proyek  </t>
  </si>
  <si>
    <t>Total Biaya Pengembangan Sistem</t>
  </si>
  <si>
    <t>Biaya Operasional dan Perawatan</t>
  </si>
  <si>
    <t>Operasional</t>
  </si>
  <si>
    <t>Perawatan</t>
  </si>
  <si>
    <t>Total Biaya Operasional dan Perawatan</t>
  </si>
  <si>
    <t>TOTAL BIAYA</t>
  </si>
  <si>
    <t>MANFAAT</t>
  </si>
  <si>
    <t>Berwujud</t>
  </si>
  <si>
    <t>Penghematan biaya operasional pershn</t>
  </si>
  <si>
    <t>Peningkatan penjualan</t>
  </si>
  <si>
    <t>Penurunan biaya persediaan</t>
  </si>
  <si>
    <t>Tak Berwujud</t>
  </si>
  <si>
    <t>Peningkatan pelayanan</t>
  </si>
  <si>
    <t>Peningkatan kepuasan pekerjaan</t>
  </si>
  <si>
    <t>Peningkatan pengambilan keputusan</t>
  </si>
  <si>
    <t>TOTAL MANFAAT</t>
  </si>
  <si>
    <t>Proceed ( Selisih TB dan TM )</t>
  </si>
  <si>
    <t xml:space="preserve">Total </t>
  </si>
  <si>
    <t>Payback Period</t>
  </si>
  <si>
    <t>Nilai Investasi</t>
  </si>
  <si>
    <t>Proceed tahun I</t>
  </si>
  <si>
    <t>Sisa investasi tahun II</t>
  </si>
  <si>
    <t>Proceed tahun II</t>
  </si>
  <si>
    <t>Sisa investasi tahun III</t>
  </si>
  <si>
    <t>Sisa</t>
  </si>
  <si>
    <t>=3250000/66550000</t>
  </si>
  <si>
    <t>hari</t>
  </si>
  <si>
    <t>Sisa investasi tahun ke 3 tertutup oleh proceed tahun ke 3 yang berarti investasi akan kembali pada tahun ke 3 yaitu tepatnya 2.05 tahun atau 2 tahun 18 hari</t>
  </si>
  <si>
    <t>ROI</t>
  </si>
  <si>
    <t>selisih TB-TM</t>
  </si>
  <si>
    <t>=(Total manfaat - Total Biaya)/Total Biaya</t>
  </si>
  <si>
    <t>ROI %</t>
  </si>
  <si>
    <t>= 60, 99%</t>
  </si>
  <si>
    <t>NPV (Net Present Value)</t>
  </si>
  <si>
    <t>Tingkat bunga diskonto = 10%</t>
  </si>
  <si>
    <t>Dari hasil perhitungan dapat disimpulkan bahwa jumlah keuntungan yang diterima sekarang oleh perusahaan pada tahun ke 3 apabila sistem ini diterapkan adalah :</t>
  </si>
  <si>
    <t>Rp 23,981,618 atau NPV lebih besar dari 0, maka proyek tersebut layak dilaksanakan</t>
  </si>
  <si>
    <t>link pengumpulan tugas</t>
  </si>
  <si>
    <t>https://forms.gle/LurLj9dAC6iZPyHL9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</si>
</sst>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000000"/>
      <name val="Cambria"/>
    </font>
    <font>
      <sz val="11.0"/>
      <color rgb="FF000000"/>
      <name val="Cambria"/>
    </font>
    <font>
      <sz val="10.0"/>
      <color theme="1"/>
      <name val="Arial"/>
    </font>
    <font>
      <b/>
      <sz val="10.0"/>
      <color rgb="FF000000"/>
      <name val="Cambria"/>
    </font>
    <font>
      <sz val="11.0"/>
      <color theme="1"/>
      <name val="Calibri"/>
    </font>
    <font>
      <sz val="10.0"/>
      <color rgb="FF000000"/>
      <name val="Cambria"/>
    </font>
    <font>
      <color theme="1"/>
      <name val="Calibri"/>
      <scheme val="minor"/>
    </font>
    <font>
      <sz val="12.0"/>
      <color theme="1"/>
      <name val="Open Sans"/>
    </font>
    <font>
      <sz val="16.0"/>
      <color theme="1"/>
      <name val="Open Sans"/>
    </font>
    <font>
      <sz val="12.0"/>
      <color theme="1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1" shrinkToFit="0" wrapText="1"/>
    </xf>
    <xf borderId="1" fillId="0" fontId="1" numFmtId="0" xfId="0" applyAlignment="1" applyBorder="1" applyFont="1">
      <alignment horizontal="left" readingOrder="1" shrinkToFit="0" wrapText="1"/>
    </xf>
    <xf borderId="1" fillId="0" fontId="2" numFmtId="0" xfId="0" applyAlignment="1" applyBorder="1" applyFont="1">
      <alignment horizontal="left" readingOrder="1" shrinkToFit="0" wrapText="1"/>
    </xf>
    <xf borderId="1" fillId="0" fontId="2" numFmtId="3" xfId="0" applyAlignment="1" applyBorder="1" applyFont="1" applyNumberFormat="1">
      <alignment horizontal="right" readingOrder="1" shrinkToFit="0" wrapText="1"/>
    </xf>
    <xf borderId="1" fillId="0" fontId="2" numFmtId="0" xfId="0" applyAlignment="1" applyBorder="1" applyFont="1">
      <alignment horizontal="center" readingOrder="1" shrinkToFit="0" wrapText="1"/>
    </xf>
    <xf borderId="1" fillId="0" fontId="2" numFmtId="0" xfId="0" applyAlignment="1" applyBorder="1" applyFont="1">
      <alignment horizontal="right" readingOrder="1" shrinkToFit="0" wrapText="1"/>
    </xf>
    <xf borderId="1" fillId="0" fontId="1" numFmtId="3" xfId="0" applyAlignment="1" applyBorder="1" applyFont="1" applyNumberFormat="1">
      <alignment horizontal="right" readingOrder="1" shrinkToFit="0" wrapText="1"/>
    </xf>
    <xf borderId="1" fillId="2" fontId="1" numFmtId="0" xfId="0" applyAlignment="1" applyBorder="1" applyFill="1" applyFont="1">
      <alignment horizontal="left" readingOrder="1" shrinkToFit="0" wrapText="1"/>
    </xf>
    <xf borderId="1" fillId="2" fontId="1" numFmtId="3" xfId="0" applyAlignment="1" applyBorder="1" applyFont="1" applyNumberFormat="1">
      <alignment horizontal="right" readingOrder="1" shrinkToFit="0" wrapText="1"/>
    </xf>
    <xf borderId="1" fillId="2" fontId="2" numFmtId="0" xfId="0" applyAlignment="1" applyBorder="1" applyFont="1">
      <alignment horizontal="left" readingOrder="1" shrinkToFit="0" wrapText="1"/>
    </xf>
    <xf borderId="1" fillId="2" fontId="2" numFmtId="0" xfId="0" applyAlignment="1" applyBorder="1" applyFont="1">
      <alignment horizontal="center" readingOrder="1" shrinkToFit="0" wrapText="1"/>
    </xf>
    <xf borderId="1" fillId="3" fontId="2" numFmtId="0" xfId="0" applyAlignment="1" applyBorder="1" applyFill="1" applyFont="1">
      <alignment horizontal="left" readingOrder="1" shrinkToFit="0" wrapText="1"/>
    </xf>
    <xf borderId="1" fillId="3" fontId="1" numFmtId="0" xfId="0" applyAlignment="1" applyBorder="1" applyFont="1">
      <alignment horizontal="left" readingOrder="1" shrinkToFit="0" wrapText="1"/>
    </xf>
    <xf borderId="1" fillId="3" fontId="1" numFmtId="3" xfId="0" applyAlignment="1" applyBorder="1" applyFont="1" applyNumberFormat="1">
      <alignment horizontal="right" readingOrder="1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1" shrinkToFit="0" wrapText="1"/>
    </xf>
    <xf borderId="2" fillId="0" fontId="4" numFmtId="0" xfId="0" applyAlignment="1" applyBorder="1" applyFont="1">
      <alignment horizontal="center" readingOrder="1" shrinkToFit="0" wrapText="1"/>
    </xf>
    <xf borderId="1" fillId="3" fontId="4" numFmtId="0" xfId="0" applyAlignment="1" applyBorder="1" applyFont="1">
      <alignment horizontal="center" readingOrder="1" shrinkToFit="0" wrapText="1"/>
    </xf>
    <xf borderId="1" fillId="0" fontId="4" numFmtId="0" xfId="0" applyAlignment="1" applyBorder="1" applyFont="1">
      <alignment horizontal="left" readingOrder="1" shrinkToFit="0" wrapText="1"/>
    </xf>
    <xf borderId="1" fillId="0" fontId="4" numFmtId="3" xfId="0" applyAlignment="1" applyBorder="1" applyFont="1" applyNumberFormat="1">
      <alignment horizontal="right" readingOrder="1" shrinkToFit="0" wrapText="1"/>
    </xf>
    <xf borderId="2" fillId="0" fontId="4" numFmtId="3" xfId="0" applyAlignment="1" applyBorder="1" applyFont="1" applyNumberFormat="1">
      <alignment horizontal="right" readingOrder="1" shrinkToFit="0" wrapText="1"/>
    </xf>
    <xf borderId="1" fillId="0" fontId="5" numFmtId="3" xfId="0" applyBorder="1" applyFont="1" applyNumberFormat="1"/>
    <xf borderId="1" fillId="0" fontId="6" numFmtId="0" xfId="0" applyAlignment="1" applyBorder="1" applyFont="1">
      <alignment horizontal="right" readingOrder="1" shrinkToFit="0" wrapText="1"/>
    </xf>
    <xf borderId="3" fillId="0" fontId="5" numFmtId="3" xfId="0" applyBorder="1" applyFont="1" applyNumberFormat="1"/>
    <xf borderId="0" fillId="0" fontId="7" numFmtId="0" xfId="0" applyFont="1"/>
    <xf borderId="0" fillId="0" fontId="5" numFmtId="3" xfId="0" applyFont="1" applyNumberFormat="1"/>
    <xf quotePrefix="1" borderId="0" fillId="0" fontId="5" numFmtId="0" xfId="0" applyFont="1"/>
    <xf borderId="0" fillId="0" fontId="7" numFmtId="0" xfId="0" applyAlignment="1" applyFont="1">
      <alignment readingOrder="0"/>
    </xf>
    <xf borderId="0" fillId="0" fontId="5" numFmtId="4" xfId="0" applyAlignment="1" applyFont="1" applyNumberFormat="1">
      <alignment horizontal="left"/>
    </xf>
    <xf borderId="0" fillId="0" fontId="8" numFmtId="0" xfId="0" applyFont="1"/>
    <xf borderId="0" fillId="0" fontId="7" numFmtId="3" xfId="0" applyFont="1" applyNumberFormat="1"/>
    <xf quotePrefix="1" borderId="0" fillId="0" fontId="5" numFmtId="0" xfId="0" applyAlignment="1" applyFont="1">
      <alignment readingOrder="0"/>
    </xf>
    <xf quotePrefix="1" borderId="0" fillId="0" fontId="7" numFmtId="0" xfId="0" applyAlignment="1" applyFont="1">
      <alignment readingOrder="0"/>
    </xf>
    <xf borderId="0" fillId="0" fontId="9" numFmtId="0" xfId="0" applyAlignment="1" applyFont="1">
      <alignment horizontal="left" readingOrder="1" vertical="center"/>
    </xf>
    <xf borderId="0" fillId="0" fontId="8" numFmtId="0" xfId="0" applyAlignment="1" applyFont="1">
      <alignment horizontal="left" readingOrder="1" vertical="center"/>
    </xf>
    <xf borderId="0" fillId="0" fontId="10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LurLj9dAC6iZPyHL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14"/>
    <col customWidth="1" min="2" max="2" width="19.57"/>
    <col customWidth="1" min="3" max="3" width="22.71"/>
    <col customWidth="1" min="4" max="4" width="15.43"/>
    <col customWidth="1" min="5" max="5" width="13.29"/>
    <col customWidth="1" min="6" max="6" width="11.14"/>
    <col customWidth="1" min="7" max="7" width="12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3"/>
    </row>
    <row r="3">
      <c r="A3" s="2" t="s">
        <v>6</v>
      </c>
      <c r="B3" s="3"/>
      <c r="C3" s="3"/>
      <c r="D3" s="3"/>
      <c r="E3" s="3"/>
    </row>
    <row r="4">
      <c r="A4" s="3" t="s">
        <v>7</v>
      </c>
      <c r="B4" s="4">
        <v>4.3E7</v>
      </c>
      <c r="C4" s="5">
        <v>0.0</v>
      </c>
      <c r="D4" s="5">
        <v>0.0</v>
      </c>
      <c r="E4" s="5">
        <v>0.0</v>
      </c>
    </row>
    <row r="5">
      <c r="A5" s="3" t="s">
        <v>8</v>
      </c>
      <c r="B5" s="4">
        <v>4200000.0</v>
      </c>
      <c r="C5" s="5">
        <v>0.0</v>
      </c>
      <c r="D5" s="5">
        <v>0.0</v>
      </c>
      <c r="E5" s="5">
        <v>0.0</v>
      </c>
    </row>
    <row r="6">
      <c r="A6" s="2" t="s">
        <v>9</v>
      </c>
      <c r="B6" s="3"/>
      <c r="C6" s="5"/>
      <c r="D6" s="5"/>
      <c r="E6" s="5"/>
    </row>
    <row r="7">
      <c r="A7" s="3" t="s">
        <v>10</v>
      </c>
      <c r="B7" s="4">
        <v>1.2E7</v>
      </c>
      <c r="C7" s="5">
        <v>0.0</v>
      </c>
      <c r="D7" s="5">
        <v>0.0</v>
      </c>
      <c r="E7" s="5">
        <v>0.0</v>
      </c>
    </row>
    <row r="8">
      <c r="A8" s="3" t="s">
        <v>11</v>
      </c>
      <c r="B8" s="4">
        <v>1.1E7</v>
      </c>
      <c r="C8" s="5">
        <v>0.0</v>
      </c>
      <c r="D8" s="5">
        <v>0.0</v>
      </c>
      <c r="E8" s="5">
        <v>0.0</v>
      </c>
    </row>
    <row r="9">
      <c r="A9" s="3" t="s">
        <v>12</v>
      </c>
      <c r="B9" s="4">
        <v>9750000.0</v>
      </c>
      <c r="C9" s="5">
        <v>0.0</v>
      </c>
      <c r="D9" s="5">
        <v>0.0</v>
      </c>
      <c r="E9" s="5">
        <v>0.0</v>
      </c>
    </row>
    <row r="10">
      <c r="A10" s="3" t="s">
        <v>13</v>
      </c>
      <c r="B10" s="4">
        <v>6000000.0</v>
      </c>
      <c r="C10" s="5">
        <v>0.0</v>
      </c>
      <c r="D10" s="5">
        <v>0.0</v>
      </c>
      <c r="E10" s="5">
        <v>0.0</v>
      </c>
    </row>
    <row r="11">
      <c r="A11" s="3" t="s">
        <v>14</v>
      </c>
      <c r="B11" s="6">
        <v>0.0</v>
      </c>
      <c r="C11" s="5">
        <v>0.0</v>
      </c>
      <c r="D11" s="5">
        <v>0.0</v>
      </c>
      <c r="E11" s="4">
        <v>220000.0</v>
      </c>
    </row>
    <row r="12">
      <c r="A12" s="2" t="s">
        <v>15</v>
      </c>
      <c r="B12" s="4">
        <f>sum(B7:B10)</f>
        <v>38750000</v>
      </c>
      <c r="C12" s="5">
        <v>0.0</v>
      </c>
      <c r="D12" s="5">
        <v>0.0</v>
      </c>
      <c r="E12" s="4">
        <v>220000.0</v>
      </c>
    </row>
    <row r="13">
      <c r="A13" s="3"/>
      <c r="B13" s="3"/>
      <c r="C13" s="5"/>
      <c r="D13" s="5"/>
      <c r="E13" s="3"/>
    </row>
    <row r="14">
      <c r="A14" s="2" t="s">
        <v>16</v>
      </c>
      <c r="B14" s="7">
        <f>sum(B4:B10)</f>
        <v>85950000</v>
      </c>
      <c r="C14" s="1">
        <v>0.0</v>
      </c>
      <c r="D14" s="1">
        <v>0.0</v>
      </c>
      <c r="E14" s="7">
        <f>E12</f>
        <v>220000</v>
      </c>
    </row>
    <row r="15">
      <c r="A15" s="3"/>
      <c r="B15" s="3"/>
      <c r="C15" s="3"/>
      <c r="D15" s="3"/>
      <c r="E15" s="3"/>
    </row>
    <row r="16">
      <c r="A16" s="3" t="s">
        <v>17</v>
      </c>
      <c r="B16" s="3"/>
      <c r="C16" s="3"/>
      <c r="D16" s="3"/>
      <c r="E16" s="3"/>
    </row>
    <row r="17">
      <c r="A17" s="3" t="s">
        <v>18</v>
      </c>
      <c r="B17" s="5">
        <v>0.0</v>
      </c>
      <c r="C17" s="4">
        <v>3200000.0</v>
      </c>
      <c r="D17" s="4">
        <v>3450000.0</v>
      </c>
      <c r="E17" s="4">
        <v>3510000.0</v>
      </c>
    </row>
    <row r="18">
      <c r="A18" s="3" t="s">
        <v>19</v>
      </c>
      <c r="B18" s="5">
        <v>0.0</v>
      </c>
      <c r="C18" s="4">
        <v>2400000.0</v>
      </c>
      <c r="D18" s="4">
        <v>2550000.0</v>
      </c>
      <c r="E18" s="4">
        <v>2500000.0</v>
      </c>
    </row>
    <row r="19">
      <c r="A19" s="3"/>
      <c r="B19" s="5"/>
      <c r="C19" s="3"/>
      <c r="D19" s="3"/>
      <c r="E19" s="3"/>
    </row>
    <row r="20">
      <c r="A20" s="2" t="s">
        <v>20</v>
      </c>
      <c r="B20" s="1">
        <v>0.0</v>
      </c>
      <c r="C20" s="7">
        <f t="shared" ref="C20:E20" si="1">sum(C17:C18)</f>
        <v>5600000</v>
      </c>
      <c r="D20" s="7">
        <f t="shared" si="1"/>
        <v>6000000</v>
      </c>
      <c r="E20" s="7">
        <f t="shared" si="1"/>
        <v>6010000</v>
      </c>
    </row>
    <row r="21" ht="15.75" customHeight="1">
      <c r="A21" s="3"/>
      <c r="B21" s="5"/>
      <c r="C21" s="3"/>
      <c r="D21" s="3"/>
      <c r="E21" s="3"/>
    </row>
    <row r="22" ht="15.75" customHeight="1">
      <c r="A22" s="8" t="s">
        <v>21</v>
      </c>
      <c r="B22" s="9">
        <f>B14</f>
        <v>85950000</v>
      </c>
      <c r="C22" s="9">
        <f t="shared" ref="C22:D22" si="2">C20</f>
        <v>5600000</v>
      </c>
      <c r="D22" s="9">
        <f t="shared" si="2"/>
        <v>6000000</v>
      </c>
      <c r="E22" s="9">
        <f>E20+E14</f>
        <v>6230000</v>
      </c>
    </row>
    <row r="23" ht="15.75" customHeight="1">
      <c r="A23" s="3"/>
      <c r="B23" s="5"/>
      <c r="C23" s="3"/>
      <c r="D23" s="3"/>
      <c r="E23" s="3"/>
    </row>
    <row r="24" ht="15.75" customHeight="1">
      <c r="A24" s="2" t="s">
        <v>22</v>
      </c>
      <c r="B24" s="5"/>
      <c r="C24" s="3"/>
      <c r="D24" s="3"/>
      <c r="E24" s="3"/>
    </row>
    <row r="25" ht="15.75" customHeight="1">
      <c r="A25" s="3" t="s">
        <v>23</v>
      </c>
      <c r="B25" s="5"/>
      <c r="C25" s="3"/>
      <c r="D25" s="3"/>
      <c r="E25" s="3"/>
    </row>
    <row r="26" ht="15.75" customHeight="1">
      <c r="A26" s="3" t="s">
        <v>24</v>
      </c>
      <c r="B26" s="5">
        <v>0.0</v>
      </c>
      <c r="C26" s="4">
        <v>8000000.0</v>
      </c>
      <c r="D26" s="4">
        <v>1.12E7</v>
      </c>
      <c r="E26" s="4">
        <v>1.17E7</v>
      </c>
    </row>
    <row r="27" ht="15.75" customHeight="1">
      <c r="A27" s="3" t="s">
        <v>25</v>
      </c>
      <c r="B27" s="5">
        <v>0.0</v>
      </c>
      <c r="C27" s="4">
        <v>1.6E7</v>
      </c>
      <c r="D27" s="4">
        <v>2.87E7</v>
      </c>
      <c r="E27" s="4">
        <v>4.2E7</v>
      </c>
    </row>
    <row r="28" ht="15.75" customHeight="1">
      <c r="A28" s="3" t="s">
        <v>26</v>
      </c>
      <c r="B28" s="5">
        <v>0.0</v>
      </c>
      <c r="C28" s="4">
        <v>3200000.0</v>
      </c>
      <c r="D28" s="4">
        <v>3500000.0</v>
      </c>
      <c r="E28" s="4">
        <v>3650000.0</v>
      </c>
    </row>
    <row r="29" ht="15.75" customHeight="1">
      <c r="A29" s="3" t="s">
        <v>27</v>
      </c>
      <c r="B29" s="5"/>
      <c r="C29" s="3"/>
      <c r="D29" s="3"/>
      <c r="E29" s="3"/>
    </row>
    <row r="30" ht="15.75" customHeight="1">
      <c r="A30" s="3" t="s">
        <v>28</v>
      </c>
      <c r="B30" s="5">
        <v>0.0</v>
      </c>
      <c r="C30" s="4">
        <v>4100000.0</v>
      </c>
      <c r="D30" s="4">
        <v>4400000.0</v>
      </c>
      <c r="E30" s="4">
        <v>6050000.0</v>
      </c>
    </row>
    <row r="31" ht="15.75" customHeight="1">
      <c r="A31" s="3" t="s">
        <v>29</v>
      </c>
      <c r="B31" s="5">
        <v>0.0</v>
      </c>
      <c r="C31" s="4">
        <v>2200000.0</v>
      </c>
      <c r="D31" s="4">
        <v>3700000.0</v>
      </c>
      <c r="E31" s="4">
        <v>4150000.0</v>
      </c>
    </row>
    <row r="32" ht="15.75" customHeight="1">
      <c r="A32" s="3" t="s">
        <v>30</v>
      </c>
      <c r="B32" s="5">
        <v>0.0</v>
      </c>
      <c r="C32" s="4">
        <v>4200000.0</v>
      </c>
      <c r="D32" s="4">
        <v>5100000.0</v>
      </c>
      <c r="E32" s="4">
        <v>5230000.0</v>
      </c>
    </row>
    <row r="33" ht="15.75" customHeight="1">
      <c r="A33" s="3"/>
      <c r="B33" s="5"/>
      <c r="C33" s="3"/>
      <c r="D33" s="3"/>
      <c r="E33" s="3"/>
    </row>
    <row r="34" ht="15.75" customHeight="1">
      <c r="A34" s="10" t="s">
        <v>31</v>
      </c>
      <c r="B34" s="11">
        <v>0.0</v>
      </c>
      <c r="C34" s="9">
        <f t="shared" ref="C34:E34" si="3">SUM(C26:C32)</f>
        <v>37700000</v>
      </c>
      <c r="D34" s="9">
        <f t="shared" si="3"/>
        <v>56600000</v>
      </c>
      <c r="E34" s="9">
        <f t="shared" si="3"/>
        <v>72780000</v>
      </c>
    </row>
    <row r="35" ht="15.75" customHeight="1">
      <c r="A35" s="3"/>
      <c r="B35" s="3"/>
      <c r="C35" s="3"/>
      <c r="D35" s="3"/>
      <c r="E35" s="3"/>
    </row>
    <row r="36" ht="15.75" customHeight="1">
      <c r="A36" s="12" t="s">
        <v>32</v>
      </c>
      <c r="B36" s="13"/>
      <c r="C36" s="14">
        <f t="shared" ref="C36:E36" si="4">C34-C22</f>
        <v>32100000</v>
      </c>
      <c r="D36" s="14">
        <f t="shared" si="4"/>
        <v>50600000</v>
      </c>
      <c r="E36" s="14">
        <f t="shared" si="4"/>
        <v>66550000</v>
      </c>
    </row>
    <row r="37" ht="15.75" customHeight="1"/>
    <row r="38" ht="15.75" customHeight="1"/>
    <row r="39" ht="15.75" customHeight="1">
      <c r="A39" s="15"/>
      <c r="B39" s="16" t="s">
        <v>1</v>
      </c>
      <c r="C39" s="16" t="s">
        <v>2</v>
      </c>
      <c r="D39" s="16" t="s">
        <v>3</v>
      </c>
      <c r="E39" s="17" t="s">
        <v>4</v>
      </c>
      <c r="F39" s="18" t="s">
        <v>33</v>
      </c>
    </row>
    <row r="40" ht="15.75" customHeight="1">
      <c r="A40" s="19" t="s">
        <v>21</v>
      </c>
      <c r="B40" s="20">
        <v>8.595E7</v>
      </c>
      <c r="C40" s="20">
        <v>5600000.0</v>
      </c>
      <c r="D40" s="20">
        <v>6000000.0</v>
      </c>
      <c r="E40" s="21">
        <v>6230000.0</v>
      </c>
      <c r="F40" s="22">
        <f>SUM(B40:E40)</f>
        <v>103780000</v>
      </c>
    </row>
    <row r="41" ht="15.75" customHeight="1">
      <c r="A41" s="19" t="s">
        <v>31</v>
      </c>
      <c r="B41" s="23">
        <v>0.0</v>
      </c>
      <c r="C41" s="20">
        <v>3.77E7</v>
      </c>
      <c r="D41" s="20">
        <v>5.66E7</v>
      </c>
      <c r="E41" s="21">
        <v>7.278E7</v>
      </c>
      <c r="F41" s="24">
        <f>SUM(C41:E41)</f>
        <v>167080000</v>
      </c>
    </row>
    <row r="42" ht="15.75" customHeight="1">
      <c r="A42" s="19" t="s">
        <v>32</v>
      </c>
      <c r="B42" s="19"/>
      <c r="C42" s="20">
        <v>3.21E7</v>
      </c>
      <c r="D42" s="20">
        <v>5.06E7</v>
      </c>
      <c r="E42" s="20">
        <v>6.655E7</v>
      </c>
    </row>
    <row r="43" ht="15.75" customHeight="1"/>
    <row r="44" ht="15.75" customHeight="1"/>
    <row r="45" ht="15.75" customHeight="1">
      <c r="A45" s="25" t="s">
        <v>34</v>
      </c>
    </row>
    <row r="46" ht="15.75" customHeight="1"/>
    <row r="47" ht="15.75" customHeight="1"/>
    <row r="48" ht="15.75" customHeight="1">
      <c r="A48" s="25" t="s">
        <v>35</v>
      </c>
      <c r="C48" s="26">
        <f>B40</f>
        <v>85950000</v>
      </c>
    </row>
    <row r="49" ht="15.75" customHeight="1">
      <c r="A49" s="25" t="s">
        <v>36</v>
      </c>
      <c r="C49" s="26">
        <f>C42</f>
        <v>32100000</v>
      </c>
    </row>
    <row r="50" ht="15.75" customHeight="1">
      <c r="A50" s="25" t="s">
        <v>37</v>
      </c>
      <c r="C50" s="26">
        <f>C48-C49</f>
        <v>53850000</v>
      </c>
    </row>
    <row r="51" ht="15.75" customHeight="1">
      <c r="A51" s="25" t="s">
        <v>38</v>
      </c>
      <c r="C51" s="26">
        <f>D42</f>
        <v>50600000</v>
      </c>
    </row>
    <row r="52" ht="15.75" customHeight="1">
      <c r="A52" s="25" t="s">
        <v>39</v>
      </c>
      <c r="C52" s="26">
        <f>C50-C51</f>
        <v>3250000</v>
      </c>
    </row>
    <row r="53" ht="15.75" customHeight="1"/>
    <row r="54" ht="15.75" customHeight="1"/>
    <row r="55" ht="15.75" customHeight="1">
      <c r="A55" s="25" t="s">
        <v>40</v>
      </c>
      <c r="C55" s="27" t="s">
        <v>41</v>
      </c>
      <c r="D55" s="28" t="s">
        <v>42</v>
      </c>
      <c r="E55" s="25">
        <f>365*C56</f>
        <v>17.82494365</v>
      </c>
    </row>
    <row r="56" ht="15.75" customHeight="1">
      <c r="C56" s="29">
        <f>C52/E42</f>
        <v>0.04883546206</v>
      </c>
    </row>
    <row r="57" ht="15.75" customHeight="1">
      <c r="A57" s="30" t="s">
        <v>43</v>
      </c>
    </row>
    <row r="58" ht="15.75" customHeight="1"/>
    <row r="59" ht="15.75" customHeight="1"/>
    <row r="60" ht="15.75" customHeight="1">
      <c r="A60" s="25" t="s">
        <v>44</v>
      </c>
    </row>
    <row r="61" ht="15.75" customHeight="1">
      <c r="A61" s="15"/>
      <c r="B61" s="16" t="s">
        <v>1</v>
      </c>
      <c r="C61" s="16" t="s">
        <v>2</v>
      </c>
      <c r="D61" s="16" t="s">
        <v>3</v>
      </c>
      <c r="E61" s="17" t="s">
        <v>4</v>
      </c>
      <c r="F61" s="18" t="s">
        <v>33</v>
      </c>
      <c r="G61" s="28" t="s">
        <v>45</v>
      </c>
    </row>
    <row r="62" ht="15.75" customHeight="1">
      <c r="A62" s="19" t="s">
        <v>21</v>
      </c>
      <c r="B62" s="20">
        <v>8.595E7</v>
      </c>
      <c r="C62" s="20">
        <v>5600000.0</v>
      </c>
      <c r="D62" s="20">
        <v>6000000.0</v>
      </c>
      <c r="E62" s="21">
        <v>6230000.0</v>
      </c>
      <c r="F62" s="22">
        <f>SUM(B62:E62)</f>
        <v>103780000</v>
      </c>
      <c r="G62" s="31">
        <f>F63-F62</f>
        <v>63300000</v>
      </c>
    </row>
    <row r="63" ht="15.75" customHeight="1">
      <c r="A63" s="19" t="s">
        <v>31</v>
      </c>
      <c r="B63" s="23">
        <v>0.0</v>
      </c>
      <c r="C63" s="20">
        <v>3.77E7</v>
      </c>
      <c r="D63" s="20">
        <v>5.66E7</v>
      </c>
      <c r="E63" s="21">
        <v>7.278E7</v>
      </c>
      <c r="F63" s="24">
        <f>SUM(C63:E63)</f>
        <v>167080000</v>
      </c>
    </row>
    <row r="64" ht="15.75" customHeight="1">
      <c r="A64" s="19" t="s">
        <v>32</v>
      </c>
      <c r="B64" s="19"/>
      <c r="C64" s="20">
        <v>3.21E7</v>
      </c>
      <c r="D64" s="20">
        <v>5.06E7</v>
      </c>
      <c r="E64" s="20">
        <v>6.655E7</v>
      </c>
    </row>
    <row r="65" ht="15.75" customHeight="1"/>
    <row r="66" ht="15.75" customHeight="1"/>
    <row r="67" ht="15.75" customHeight="1"/>
    <row r="68" ht="15.75" customHeight="1">
      <c r="A68" s="25" t="s">
        <v>44</v>
      </c>
      <c r="B68" s="25">
        <f>(F63-F62)/F62</f>
        <v>0.6099441125</v>
      </c>
      <c r="C68" s="32" t="s">
        <v>46</v>
      </c>
    </row>
    <row r="69" ht="15.75" customHeight="1">
      <c r="A69" s="25" t="s">
        <v>47</v>
      </c>
      <c r="B69" s="25">
        <f>B68*100</f>
        <v>60.99441125</v>
      </c>
      <c r="C69" s="33" t="s">
        <v>48</v>
      </c>
    </row>
    <row r="70" ht="15.75" customHeight="1"/>
    <row r="71" ht="15.75" customHeight="1">
      <c r="A71" s="34" t="s">
        <v>49</v>
      </c>
    </row>
    <row r="72" ht="15.75" customHeight="1"/>
    <row r="73" ht="15.75" customHeight="1"/>
    <row r="74" ht="15.75" customHeight="1">
      <c r="A74" s="25" t="s">
        <v>50</v>
      </c>
      <c r="B74" s="26">
        <f>-C48+(C64/(1+(10%^1))+(D64/(1+(10%^2))+(E64/(1+(10%^3)))))</f>
        <v>59814344.57</v>
      </c>
      <c r="D74" s="26">
        <f>C64/(1+(10%^1))</f>
        <v>29181818.18</v>
      </c>
      <c r="E74" s="26">
        <f>D64/(1+(10%^2))</f>
        <v>50099009.9</v>
      </c>
      <c r="F74" s="26">
        <f>E64/(1+(10%^3))</f>
        <v>66483516.48</v>
      </c>
    </row>
    <row r="75" ht="15.75" customHeight="1">
      <c r="B75" s="26">
        <f>-B62+(SUM(D74:F74))</f>
        <v>59814344.57</v>
      </c>
    </row>
    <row r="76" ht="15.75" customHeight="1"/>
    <row r="77" ht="15.75" customHeight="1">
      <c r="A77" s="35" t="s">
        <v>51</v>
      </c>
      <c r="B77" s="35"/>
      <c r="C77" s="35"/>
      <c r="D77" s="35"/>
      <c r="E77" s="35"/>
      <c r="F77" s="35"/>
      <c r="G77" s="35"/>
      <c r="H77" s="35"/>
      <c r="I77" s="35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0" t="s">
        <v>52</v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/>
    <row r="80" ht="15.75" customHeight="1"/>
    <row r="81" ht="15.75" customHeight="1"/>
    <row r="82" ht="15.75" customHeight="1"/>
    <row r="83" ht="15.75" customHeight="1">
      <c r="A83" s="28" t="s">
        <v>53</v>
      </c>
      <c r="B83" s="37" t="s">
        <v>54</v>
      </c>
    </row>
    <row r="84" ht="15.75" customHeight="1">
      <c r="L84" s="25">
        <f>(1+10%)^2</f>
        <v>1.21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83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2026-06-03T07:30:28Z</dcterms:created>
  <dc:creator>DWI N</dc:creator>
</cp:coreProperties>
</file>