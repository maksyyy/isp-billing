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Biaya dan manfa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sz val="11"/>
    </font>
    <font>
      <name val="Calibri"/>
      <i val="1"/>
      <sz val="10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1" pivotButton="0" quotePrefix="0" xfId="0"/>
    <xf numFmtId="2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A1" s="1" t="inlineStr">
        <is>
          <t>Analisis Biaya dan Manfaat Proyek ISP Billing</t>
        </is>
      </c>
    </row>
    <row r="3" ht="22" customHeight="1">
      <c r="A3" s="2" t="inlineStr">
        <is>
          <t>Keterangan</t>
        </is>
      </c>
      <c r="B3" s="3" t="inlineStr">
        <is>
          <t>Tahun 0</t>
        </is>
      </c>
      <c r="C3" s="3" t="inlineStr">
        <is>
          <t>Tahun 1</t>
        </is>
      </c>
      <c r="D3" s="3" t="inlineStr">
        <is>
          <t>Tahun 2</t>
        </is>
      </c>
      <c r="E3" s="3" t="inlineStr">
        <is>
          <t>Tahun 3</t>
        </is>
      </c>
      <c r="F3" s="3" t="inlineStr">
        <is>
          <t>Tahun 4</t>
        </is>
      </c>
      <c r="G3" s="3" t="inlineStr">
        <is>
          <t>Tahun 5</t>
        </is>
      </c>
    </row>
    <row r="4">
      <c r="A4" s="4" t="inlineStr">
        <is>
          <t>BIAYA-BIAYA</t>
        </is>
      </c>
      <c r="B4" s="5" t="n"/>
      <c r="C4" s="5" t="n"/>
      <c r="D4" s="5" t="n"/>
      <c r="E4" s="5" t="n"/>
      <c r="F4" s="5" t="n"/>
      <c r="G4" s="5" t="n"/>
    </row>
    <row r="5">
      <c r="A5" s="4" t="inlineStr">
        <is>
          <t>Biaya pengembangan sistem</t>
        </is>
      </c>
      <c r="B5" s="5" t="n"/>
      <c r="C5" s="5" t="n"/>
      <c r="D5" s="5" t="n"/>
      <c r="E5" s="5" t="n"/>
      <c r="F5" s="5" t="n"/>
      <c r="G5" s="5" t="n"/>
    </row>
    <row r="6">
      <c r="A6" t="inlineStr">
        <is>
          <t>Biaya pengadaan</t>
        </is>
      </c>
      <c r="B6" s="6" t="n">
        <v>40000000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t="inlineStr">
        <is>
          <t>Biaya persiapan operasi</t>
        </is>
      </c>
      <c r="B7" s="6" t="n">
        <v>4000000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</row>
    <row r="8">
      <c r="A8" s="4" t="inlineStr">
        <is>
          <t>Biaya proyek</t>
        </is>
      </c>
      <c r="B8" s="5" t="n"/>
      <c r="C8" s="5" t="n"/>
      <c r="D8" s="5" t="n"/>
      <c r="E8" s="5" t="n"/>
      <c r="F8" s="5" t="n"/>
      <c r="G8" s="5" t="n"/>
    </row>
    <row r="9">
      <c r="A9" t="inlineStr">
        <is>
          <t>Biaya konsultan</t>
        </is>
      </c>
      <c r="B9" s="6" t="n">
        <v>10000000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</row>
    <row r="10">
      <c r="A10" t="inlineStr">
        <is>
          <t>Tahap analisis sistem</t>
        </is>
      </c>
      <c r="B10" s="6" t="n">
        <v>8000000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t="inlineStr">
        <is>
          <t>Tahap desain sistem</t>
        </is>
      </c>
      <c r="B11" s="6" t="n">
        <v>8000000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t="inlineStr">
        <is>
          <t xml:space="preserve">Penerapan sistem  </t>
        </is>
      </c>
      <c r="B12" s="6" t="n">
        <v>15000000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t="inlineStr">
        <is>
          <t>Biaya penyusutan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300000</v>
      </c>
    </row>
    <row r="14">
      <c r="A14" s="4" t="inlineStr">
        <is>
          <t xml:space="preserve">Total biaya proyek  </t>
        </is>
      </c>
      <c r="B14" s="5">
        <f>sum(B9:B12)</f>
        <v/>
      </c>
      <c r="C14" s="6" t="n">
        <v>0</v>
      </c>
      <c r="D14" s="6" t="n">
        <v>0</v>
      </c>
      <c r="E14" s="6" t="n">
        <v>0</v>
      </c>
      <c r="F14" s="6" t="n">
        <v>0</v>
      </c>
      <c r="G14" s="5">
        <f>G13</f>
        <v/>
      </c>
    </row>
    <row r="15">
      <c r="B15" s="5" t="n"/>
      <c r="C15" s="5" t="n"/>
      <c r="D15" s="5" t="n"/>
      <c r="E15" s="5" t="n"/>
      <c r="F15" s="5" t="n"/>
      <c r="G15" s="5" t="n"/>
    </row>
    <row r="16">
      <c r="A16" s="4" t="inlineStr">
        <is>
          <t>Total Biaya Pengembangan Sistem</t>
        </is>
      </c>
      <c r="B16" s="5">
        <f>sum(B6:B12)</f>
        <v/>
      </c>
      <c r="C16" s="6" t="n">
        <v>0</v>
      </c>
      <c r="D16" s="6" t="n">
        <v>0</v>
      </c>
      <c r="E16" s="6" t="n">
        <v>0</v>
      </c>
      <c r="F16" s="6" t="n">
        <v>0</v>
      </c>
      <c r="G16" s="5">
        <f>G14</f>
        <v/>
      </c>
    </row>
    <row r="17">
      <c r="B17" s="5" t="n"/>
      <c r="C17" s="5" t="n"/>
      <c r="D17" s="5" t="n"/>
      <c r="E17" s="5" t="n"/>
      <c r="F17" s="5" t="n"/>
      <c r="G17" s="5" t="n"/>
    </row>
    <row r="18">
      <c r="A18" s="4" t="inlineStr">
        <is>
          <t>Biaya Operasional dan Perawatan</t>
        </is>
      </c>
      <c r="B18" s="5" t="n"/>
      <c r="C18" s="5" t="n"/>
      <c r="D18" s="5" t="n"/>
      <c r="E18" s="5" t="n"/>
      <c r="F18" s="5" t="n"/>
      <c r="G18" s="5" t="n"/>
    </row>
    <row r="19">
      <c r="A19" t="inlineStr">
        <is>
          <t>Operasional</t>
        </is>
      </c>
      <c r="B19" s="6" t="n">
        <v>0</v>
      </c>
      <c r="C19" s="6" t="n">
        <v>3000000</v>
      </c>
      <c r="D19" s="6" t="n">
        <v>3500000</v>
      </c>
      <c r="E19" s="6" t="n">
        <v>4000000</v>
      </c>
      <c r="F19" s="6" t="n">
        <v>4500000</v>
      </c>
      <c r="G19" s="6" t="n">
        <v>5000000</v>
      </c>
    </row>
    <row r="20">
      <c r="A20" t="inlineStr">
        <is>
          <t>Perawatan</t>
        </is>
      </c>
      <c r="B20" s="6" t="n">
        <v>0</v>
      </c>
      <c r="C20" s="6" t="n">
        <v>2000000</v>
      </c>
      <c r="D20" s="6" t="n">
        <v>2500000</v>
      </c>
      <c r="E20" s="6" t="n">
        <v>2500000</v>
      </c>
      <c r="F20" s="6" t="n">
        <v>3000000</v>
      </c>
      <c r="G20" s="6" t="n">
        <v>3000000</v>
      </c>
    </row>
    <row r="21">
      <c r="B21" s="5" t="n"/>
      <c r="C21" s="5" t="n"/>
      <c r="D21" s="5" t="n"/>
      <c r="E21" s="5" t="n"/>
      <c r="F21" s="5" t="n"/>
      <c r="G21" s="5" t="n"/>
    </row>
    <row r="22">
      <c r="A22" s="4" t="inlineStr">
        <is>
          <t>Total Biaya Operasional dan Perawatan</t>
        </is>
      </c>
      <c r="B22" s="6" t="n">
        <v>0</v>
      </c>
      <c r="C22" s="5">
        <f>sum(C19:C20)</f>
        <v/>
      </c>
      <c r="D22" s="5">
        <f>sum(D19:D20)</f>
        <v/>
      </c>
      <c r="E22" s="5">
        <f>sum(E19:E20)</f>
        <v/>
      </c>
      <c r="F22" s="5">
        <f>sum(F19:F20)</f>
        <v/>
      </c>
      <c r="G22" s="5">
        <f>sum(G19:G20)</f>
        <v/>
      </c>
    </row>
    <row r="23">
      <c r="B23" s="5" t="n"/>
      <c r="C23" s="5" t="n"/>
      <c r="D23" s="5" t="n"/>
      <c r="E23" s="5" t="n"/>
      <c r="F23" s="5" t="n"/>
      <c r="G23" s="5" t="n"/>
    </row>
    <row r="24">
      <c r="A24" s="4" t="inlineStr">
        <is>
          <t>TOTAL BIAYA</t>
        </is>
      </c>
      <c r="B24" s="5">
        <f>B16</f>
        <v/>
      </c>
      <c r="C24" s="5">
        <f>C22</f>
        <v/>
      </c>
      <c r="D24" s="5">
        <f>D22</f>
        <v/>
      </c>
      <c r="E24" s="5">
        <f>E22</f>
        <v/>
      </c>
      <c r="F24" s="5">
        <f>F22</f>
        <v/>
      </c>
      <c r="G24" s="5">
        <f>G22+G16</f>
        <v/>
      </c>
    </row>
    <row r="25">
      <c r="B25" s="5" t="n"/>
      <c r="C25" s="5" t="n"/>
      <c r="D25" s="5" t="n"/>
      <c r="E25" s="5" t="n"/>
      <c r="F25" s="5" t="n"/>
      <c r="G25" s="5" t="n"/>
    </row>
    <row r="26">
      <c r="A26" s="4" t="inlineStr">
        <is>
          <t>MANFAAT</t>
        </is>
      </c>
      <c r="B26" s="5" t="n"/>
      <c r="C26" s="5" t="n"/>
      <c r="D26" s="5" t="n"/>
      <c r="E26" s="5" t="n"/>
      <c r="F26" s="5" t="n"/>
      <c r="G26" s="5" t="n"/>
    </row>
    <row r="27">
      <c r="A27" s="4" t="inlineStr">
        <is>
          <t>Berwujud</t>
        </is>
      </c>
      <c r="B27" s="5" t="n"/>
      <c r="C27" s="5" t="n"/>
      <c r="D27" s="5" t="n"/>
      <c r="E27" s="5" t="n"/>
      <c r="F27" s="5" t="n"/>
      <c r="G27" s="5" t="n"/>
    </row>
    <row r="28">
      <c r="A28" t="inlineStr">
        <is>
          <t>Penghematan biaya operasional pershn</t>
        </is>
      </c>
      <c r="B28" s="6" t="n">
        <v>0</v>
      </c>
      <c r="C28" s="6" t="n">
        <v>10000000</v>
      </c>
      <c r="D28" s="6" t="n">
        <v>12000000</v>
      </c>
      <c r="E28" s="6" t="n">
        <v>15000000</v>
      </c>
      <c r="F28" s="6" t="n">
        <v>18000000</v>
      </c>
      <c r="G28" s="6" t="n">
        <v>22000000</v>
      </c>
    </row>
    <row r="29">
      <c r="A29" t="inlineStr">
        <is>
          <t>Peningkatan penjualan</t>
        </is>
      </c>
      <c r="B29" s="6" t="n">
        <v>0</v>
      </c>
      <c r="C29" s="6" t="n">
        <v>12000000</v>
      </c>
      <c r="D29" s="6" t="n">
        <v>20000000</v>
      </c>
      <c r="E29" s="6" t="n">
        <v>30000000</v>
      </c>
      <c r="F29" s="6" t="n">
        <v>45000000</v>
      </c>
      <c r="G29" s="6" t="n">
        <v>60000000</v>
      </c>
    </row>
    <row r="30">
      <c r="A30" t="inlineStr">
        <is>
          <t>Penurunan biaya persediaan</t>
        </is>
      </c>
      <c r="B30" s="6" t="n">
        <v>0</v>
      </c>
      <c r="C30" s="6" t="n">
        <v>4000000</v>
      </c>
      <c r="D30" s="6" t="n">
        <v>5000000</v>
      </c>
      <c r="E30" s="6" t="n">
        <v>6000000</v>
      </c>
      <c r="F30" s="6" t="n">
        <v>7000000</v>
      </c>
      <c r="G30" s="6" t="n">
        <v>8000000</v>
      </c>
    </row>
    <row r="31">
      <c r="A31" s="4" t="inlineStr">
        <is>
          <t>Tak Berwujud</t>
        </is>
      </c>
      <c r="B31" s="5" t="n"/>
      <c r="C31" s="5" t="n"/>
      <c r="D31" s="5" t="n"/>
      <c r="E31" s="5" t="n"/>
      <c r="F31" s="5" t="n"/>
      <c r="G31" s="5" t="n"/>
    </row>
    <row r="32">
      <c r="A32" t="inlineStr">
        <is>
          <t>Peningkatan pelayanan</t>
        </is>
      </c>
      <c r="B32" s="6" t="n">
        <v>0</v>
      </c>
      <c r="C32" s="6" t="n">
        <v>5000000</v>
      </c>
      <c r="D32" s="6" t="n">
        <v>7000000</v>
      </c>
      <c r="E32" s="6" t="n">
        <v>10000000</v>
      </c>
      <c r="F32" s="6" t="n">
        <v>12000000</v>
      </c>
      <c r="G32" s="6" t="n">
        <v>15000000</v>
      </c>
    </row>
    <row r="33">
      <c r="A33" t="inlineStr">
        <is>
          <t>Peningkatan kepuasan pekerjaan</t>
        </is>
      </c>
      <c r="B33" s="6" t="n">
        <v>0</v>
      </c>
      <c r="C33" s="6" t="n">
        <v>3000000</v>
      </c>
      <c r="D33" s="6" t="n">
        <v>4000000</v>
      </c>
      <c r="E33" s="6" t="n">
        <v>5000000</v>
      </c>
      <c r="F33" s="6" t="n">
        <v>7000000</v>
      </c>
      <c r="G33" s="6" t="n">
        <v>9000000</v>
      </c>
    </row>
    <row r="34">
      <c r="A34" t="inlineStr">
        <is>
          <t>Peningkatan pengambilan keputusan</t>
        </is>
      </c>
      <c r="B34" s="6" t="n">
        <v>0</v>
      </c>
      <c r="C34" s="6" t="n">
        <v>4000000</v>
      </c>
      <c r="D34" s="6" t="n">
        <v>5000000</v>
      </c>
      <c r="E34" s="6" t="n">
        <v>6000000</v>
      </c>
      <c r="F34" s="6" t="n">
        <v>8000000</v>
      </c>
      <c r="G34" s="6" t="n">
        <v>10000000</v>
      </c>
    </row>
    <row r="35">
      <c r="B35" s="5" t="n"/>
      <c r="C35" s="5" t="n"/>
      <c r="D35" s="5" t="n"/>
      <c r="E35" s="5" t="n"/>
      <c r="F35" s="5" t="n"/>
      <c r="G35" s="5" t="n"/>
    </row>
    <row r="36">
      <c r="A36" s="4" t="inlineStr">
        <is>
          <t>TOTAL MANFAAT</t>
        </is>
      </c>
      <c r="B36" s="6" t="n">
        <v>0</v>
      </c>
      <c r="C36" s="5">
        <f>SUM(C28:C34)</f>
        <v/>
      </c>
      <c r="D36" s="5">
        <f>SUM(D28:D34)</f>
        <v/>
      </c>
      <c r="E36" s="5">
        <f>SUM(E28:E34)</f>
        <v/>
      </c>
      <c r="F36" s="5">
        <f>SUM(F28:F34)</f>
        <v/>
      </c>
      <c r="G36" s="5">
        <f>SUM(G28:G34)</f>
        <v/>
      </c>
    </row>
    <row r="37">
      <c r="B37" s="5" t="n"/>
      <c r="C37" s="5" t="n"/>
      <c r="D37" s="5" t="n"/>
      <c r="E37" s="5" t="n"/>
      <c r="F37" s="5" t="n"/>
      <c r="G37" s="5" t="n"/>
    </row>
    <row r="38">
      <c r="A38" s="4" t="inlineStr">
        <is>
          <t>Proceed ( Selisih TB dan TM )</t>
        </is>
      </c>
      <c r="B38" s="6" t="n">
        <v>0</v>
      </c>
      <c r="C38" s="5">
        <f>C36-C24</f>
        <v/>
      </c>
      <c r="D38" s="5">
        <f>D36-D24</f>
        <v/>
      </c>
      <c r="E38" s="5">
        <f>E36-E24</f>
        <v/>
      </c>
      <c r="F38" s="5">
        <f>F36-F24</f>
        <v/>
      </c>
      <c r="G38" s="5">
        <f>G36-G24</f>
        <v/>
      </c>
    </row>
    <row r="41" ht="20" customHeight="1">
      <c r="A41" s="7" t="inlineStr"/>
      <c r="B41" s="8" t="inlineStr">
        <is>
          <t>Tahun 0</t>
        </is>
      </c>
      <c r="C41" s="8" t="inlineStr">
        <is>
          <t>Tahun 1</t>
        </is>
      </c>
      <c r="D41" s="8" t="inlineStr">
        <is>
          <t>Tahun 2</t>
        </is>
      </c>
      <c r="E41" s="8" t="inlineStr">
        <is>
          <t>Tahun 3</t>
        </is>
      </c>
      <c r="F41" s="8" t="inlineStr">
        <is>
          <t>Tahun 4</t>
        </is>
      </c>
      <c r="G41" s="8" t="inlineStr">
        <is>
          <t>Tahun 5</t>
        </is>
      </c>
      <c r="H41" s="8" t="inlineStr">
        <is>
          <t xml:space="preserve">Total </t>
        </is>
      </c>
    </row>
    <row r="42">
      <c r="A42" s="7" t="inlineStr">
        <is>
          <t>TOTAL BIAYA</t>
        </is>
      </c>
      <c r="B42" s="5">
        <f>B24</f>
        <v/>
      </c>
      <c r="C42" s="5">
        <f>C24</f>
        <v/>
      </c>
      <c r="D42" s="5">
        <f>D24</f>
        <v/>
      </c>
      <c r="E42" s="5">
        <f>E24</f>
        <v/>
      </c>
      <c r="F42" s="5">
        <f>F24</f>
        <v/>
      </c>
      <c r="G42" s="5">
        <f>G24</f>
        <v/>
      </c>
      <c r="H42" s="5">
        <f>SUM(B42:G42)</f>
        <v/>
      </c>
    </row>
    <row r="43">
      <c r="A43" s="7" t="inlineStr">
        <is>
          <t>TOTAL MANFAAT</t>
        </is>
      </c>
      <c r="B43" s="5">
        <f>B36</f>
        <v/>
      </c>
      <c r="C43" s="5">
        <f>C36</f>
        <v/>
      </c>
      <c r="D43" s="5">
        <f>D36</f>
        <v/>
      </c>
      <c r="E43" s="5">
        <f>E36</f>
        <v/>
      </c>
      <c r="F43" s="5">
        <f>F36</f>
        <v/>
      </c>
      <c r="G43" s="5">
        <f>G36</f>
        <v/>
      </c>
      <c r="H43" s="5">
        <f>SUM(C43:G43)</f>
        <v/>
      </c>
    </row>
    <row r="44">
      <c r="A44" s="7" t="inlineStr">
        <is>
          <t>Proceed ( Selisih TB dan TM )</t>
        </is>
      </c>
      <c r="B44" s="6" t="n">
        <v>0</v>
      </c>
      <c r="C44" s="5">
        <f>C38</f>
        <v/>
      </c>
      <c r="D44" s="5">
        <f>D38</f>
        <v/>
      </c>
      <c r="E44" s="5">
        <f>E38</f>
        <v/>
      </c>
      <c r="F44" s="5">
        <f>F38</f>
        <v/>
      </c>
      <c r="G44" s="5">
        <f>G38</f>
        <v/>
      </c>
      <c r="H44" s="5" t="inlineStr"/>
    </row>
    <row r="47">
      <c r="A47" s="4" t="inlineStr">
        <is>
          <t>Payback Period</t>
        </is>
      </c>
    </row>
    <row r="50">
      <c r="A50" s="9" t="inlineStr">
        <is>
          <t>Nilai Investasi</t>
        </is>
      </c>
      <c r="C50" s="10">
        <f>B42</f>
        <v/>
      </c>
    </row>
    <row r="51">
      <c r="A51" s="9" t="inlineStr">
        <is>
          <t>Proceed tahun I</t>
        </is>
      </c>
      <c r="C51" s="10">
        <f>C44</f>
        <v/>
      </c>
    </row>
    <row r="52">
      <c r="A52" s="9" t="inlineStr">
        <is>
          <t>Sisa investasi tahun II</t>
        </is>
      </c>
      <c r="C52" s="10">
        <f>C50-C51</f>
        <v/>
      </c>
    </row>
    <row r="53">
      <c r="A53" s="9" t="inlineStr">
        <is>
          <t>Proceed tahun II</t>
        </is>
      </c>
      <c r="C53" s="10">
        <f>D44</f>
        <v/>
      </c>
    </row>
    <row r="54">
      <c r="A54" s="9" t="inlineStr">
        <is>
          <t>Sisa investasi tahun III</t>
        </is>
      </c>
      <c r="C54" s="10">
        <f>C52-C53</f>
        <v/>
      </c>
    </row>
    <row r="57">
      <c r="A57" t="inlineStr">
        <is>
          <t>Sisa</t>
        </is>
      </c>
      <c r="C57">
        <f>C58</f>
        <v/>
      </c>
      <c r="D57" t="inlineStr">
        <is>
          <t>hari</t>
        </is>
      </c>
      <c r="E57" s="11">
        <f>365*C57</f>
        <v/>
      </c>
    </row>
    <row r="58">
      <c r="C58" s="11">
        <f>C54/E44</f>
        <v/>
      </c>
    </row>
    <row r="59">
      <c r="A59" s="12" t="inlineStr">
        <is>
          <t>Sisa investasi tahun ke 3 tertutup oleh proceed tahun ke 3 yang berarti investasi akan kembali pada tahun ke 3 yaitu tepatnya 2.08 tahun atau 2 tahun 28 hari</t>
        </is>
      </c>
    </row>
    <row r="62">
      <c r="A62" s="4" t="inlineStr">
        <is>
          <t>ROI</t>
        </is>
      </c>
    </row>
    <row r="63">
      <c r="A63" s="13" t="n"/>
      <c r="B63" s="8" t="inlineStr">
        <is>
          <t>Tahun 0</t>
        </is>
      </c>
      <c r="C63" s="8" t="inlineStr">
        <is>
          <t>Tahun 1</t>
        </is>
      </c>
      <c r="D63" s="8" t="inlineStr">
        <is>
          <t>Tahun 2</t>
        </is>
      </c>
      <c r="E63" s="8" t="inlineStr">
        <is>
          <t>Tahun 3</t>
        </is>
      </c>
      <c r="F63" s="8" t="inlineStr">
        <is>
          <t>Tahun 4</t>
        </is>
      </c>
      <c r="G63" s="8" t="inlineStr">
        <is>
          <t>Tahun 5</t>
        </is>
      </c>
      <c r="H63" s="8" t="inlineStr">
        <is>
          <t xml:space="preserve">Total </t>
        </is>
      </c>
      <c r="I63" s="8" t="inlineStr">
        <is>
          <t>selisih TB-TM</t>
        </is>
      </c>
    </row>
    <row r="64">
      <c r="A64" s="7" t="inlineStr">
        <is>
          <t>TOTAL BIAYA</t>
        </is>
      </c>
      <c r="B64" s="5">
        <f>B42</f>
        <v/>
      </c>
      <c r="C64" s="5">
        <f>C42</f>
        <v/>
      </c>
      <c r="D64" s="5">
        <f>D42</f>
        <v/>
      </c>
      <c r="E64" s="5">
        <f>E42</f>
        <v/>
      </c>
      <c r="F64" s="5">
        <f>F42</f>
        <v/>
      </c>
      <c r="G64" s="5">
        <f>G42</f>
        <v/>
      </c>
      <c r="H64" s="5">
        <f>SUM(B64:G64)</f>
        <v/>
      </c>
      <c r="I64" s="5">
        <f>H65-H64</f>
        <v/>
      </c>
    </row>
    <row r="65">
      <c r="A65" s="7" t="inlineStr">
        <is>
          <t>TOTAL MANFAAT</t>
        </is>
      </c>
      <c r="B65" s="5">
        <f>B43</f>
        <v/>
      </c>
      <c r="C65" s="5">
        <f>C43</f>
        <v/>
      </c>
      <c r="D65" s="5">
        <f>D43</f>
        <v/>
      </c>
      <c r="E65" s="5">
        <f>E43</f>
        <v/>
      </c>
      <c r="F65" s="5">
        <f>F43</f>
        <v/>
      </c>
      <c r="G65" s="5">
        <f>G43</f>
        <v/>
      </c>
      <c r="H65" s="5">
        <f>SUM(C65:G65)</f>
        <v/>
      </c>
      <c r="I65" s="5" t="n"/>
    </row>
    <row r="66">
      <c r="A66" s="7" t="inlineStr">
        <is>
          <t>Proceed ( Selisih TB dan TM )</t>
        </is>
      </c>
      <c r="B66" s="6" t="n">
        <v>0</v>
      </c>
      <c r="C66" s="5">
        <f>C44</f>
        <v/>
      </c>
      <c r="D66" s="5">
        <f>D44</f>
        <v/>
      </c>
      <c r="E66" s="5">
        <f>E44</f>
        <v/>
      </c>
      <c r="F66" s="5">
        <f>F44</f>
        <v/>
      </c>
      <c r="G66" s="5">
        <f>G44</f>
        <v/>
      </c>
      <c r="H66" s="5" t="n"/>
      <c r="I66" s="5" t="n"/>
    </row>
    <row r="70">
      <c r="A70" s="4" t="inlineStr">
        <is>
          <t>ROI</t>
        </is>
      </c>
      <c r="B70" s="14">
        <f>(H65-H64)/H64</f>
        <v/>
      </c>
      <c r="C70" s="9">
        <f>(Total manfaat - Total Biaya)/Total Biaya</f>
        <v/>
      </c>
    </row>
    <row r="71">
      <c r="A71" s="4" t="inlineStr">
        <is>
          <t>ROI %</t>
        </is>
      </c>
      <c r="B71" s="14">
        <f>B70*100</f>
        <v/>
      </c>
      <c r="C71" s="4">
        <f> 224.60%</f>
        <v/>
      </c>
    </row>
    <row r="73">
      <c r="A73" s="4" t="inlineStr">
        <is>
          <t>NPV (Net Present Value)</t>
        </is>
      </c>
    </row>
    <row r="76">
      <c r="A76" s="4" t="inlineStr">
        <is>
          <t>Tingkat bunga diskonto = 10%</t>
        </is>
      </c>
      <c r="B76" s="15">
        <f>-C50+(C66/(1+(10%^1))+(D66/(1+(10%^2))+(E66/(1+(10%^3)))+(F66/(1+(10%^4)))+(G66/(1+(10%^5)))))</f>
        <v/>
      </c>
      <c r="D76" s="10">
        <f>C66/(1+(10%^1))</f>
        <v/>
      </c>
      <c r="E76" s="10">
        <f>D66/(1+(10%^2))</f>
        <v/>
      </c>
      <c r="F76" s="10">
        <f>E66/(1+(10%^3))</f>
        <v/>
      </c>
      <c r="G76" s="10">
        <f>F66/(1+(10%^4))</f>
        <v/>
      </c>
      <c r="H76" s="10">
        <f>G66/(1+(10%^5))</f>
        <v/>
      </c>
    </row>
    <row r="77">
      <c r="B77" s="15">
        <f>-B64+(SUM(D76:H76))</f>
        <v/>
      </c>
    </row>
    <row r="79">
      <c r="A79" s="9" t="inlineStr">
        <is>
          <t>Dari hasil perhitungan dapat disimpulkan bahwa jumlah keuntungan yang diterima sekarang oleh perusahaan pada tahun ke 5 apabila sistem ini diterapkan adalah :</t>
        </is>
      </c>
    </row>
    <row r="80">
      <c r="A80" s="4" t="inlineStr">
        <is>
          <t>Rp 166,024,396 atau NPV lebih besar dari 0, maka proyek tersebut layak dilaksanakan</t>
        </is>
      </c>
    </row>
    <row r="85">
      <c r="A85" s="9" t="inlineStr">
        <is>
          <t>link pengumpulan tugas</t>
        </is>
      </c>
      <c r="B85" s="9" t="inlineStr">
        <is>
          <t>https://forms.gle/LurLj9dAC6iZPyHL9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2026-06-08T11:43:22Z</dcterms:created>
  <dcterms:modified xsi:type="dcterms:W3CDTF">2026-06-08T11:43:22Z</dcterms:modified>
</cp:coreProperties>
</file>